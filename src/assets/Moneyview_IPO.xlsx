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eyview" sheetId="1" r:id="rId5"/>
    <sheet state="visible" name="Incentive" sheetId="2" r:id="rId6"/>
  </sheets>
  <definedNames/>
  <calcPr/>
</workbook>
</file>

<file path=xl/sharedStrings.xml><?xml version="1.0" encoding="utf-8"?>
<sst xmlns="http://schemas.openxmlformats.org/spreadsheetml/2006/main" count="113" uniqueCount="57">
  <si>
    <t>S.No#</t>
  </si>
  <si>
    <t>Investor_Name</t>
  </si>
  <si>
    <t>Amount_Contributed</t>
  </si>
  <si>
    <t>Account_Holder_Name</t>
  </si>
  <si>
    <t>Lots</t>
  </si>
  <si>
    <t>Applied_Amount</t>
  </si>
  <si>
    <t>Alloted?</t>
  </si>
  <si>
    <t>Refund</t>
  </si>
  <si>
    <t>Profit_Share</t>
  </si>
  <si>
    <t>Tax_Reserve</t>
  </si>
  <si>
    <t>Final_Setlement</t>
  </si>
  <si>
    <t>Ramprakash</t>
  </si>
  <si>
    <t>No</t>
  </si>
  <si>
    <t>Selling_Price</t>
  </si>
  <si>
    <t>Karthika Ram</t>
  </si>
  <si>
    <t>Issue_Price</t>
  </si>
  <si>
    <t>Harsha</t>
  </si>
  <si>
    <t>LOT_Size</t>
  </si>
  <si>
    <t>Hema</t>
  </si>
  <si>
    <t>Total_Profit</t>
  </si>
  <si>
    <t>Saravanan</t>
  </si>
  <si>
    <t>Diwa</t>
  </si>
  <si>
    <t>Tax%</t>
  </si>
  <si>
    <t>Gopal</t>
  </si>
  <si>
    <t>Total_Tax_Reserve</t>
  </si>
  <si>
    <t>Santhosh</t>
  </si>
  <si>
    <t>Selling_Charges</t>
  </si>
  <si>
    <t>Vishal</t>
  </si>
  <si>
    <t>Yes</t>
  </si>
  <si>
    <t>Profit_Avl_for_Distri</t>
  </si>
  <si>
    <t>Logesh</t>
  </si>
  <si>
    <t>Satish</t>
  </si>
  <si>
    <t>Tax Amount to</t>
  </si>
  <si>
    <t>Vishal, Chandra</t>
  </si>
  <si>
    <t>Sandhib</t>
  </si>
  <si>
    <t>Prathap</t>
  </si>
  <si>
    <t>Kamal</t>
  </si>
  <si>
    <t>Suriya</t>
  </si>
  <si>
    <t>Kuldeep</t>
  </si>
  <si>
    <t>Satya</t>
  </si>
  <si>
    <t>Share_Sold_Price</t>
  </si>
  <si>
    <t>Selling_Charge</t>
  </si>
  <si>
    <t>Chandra</t>
  </si>
  <si>
    <t>yes</t>
  </si>
  <si>
    <t>Shanmukha</t>
  </si>
  <si>
    <t>Shanmuha</t>
  </si>
  <si>
    <t>Bala</t>
  </si>
  <si>
    <t>Prathap + Santhosh</t>
  </si>
  <si>
    <t>Vishnu</t>
  </si>
  <si>
    <t>11000+3994</t>
  </si>
  <si>
    <t>Shanmukha_Friend</t>
  </si>
  <si>
    <t>Total</t>
  </si>
  <si>
    <t>Name</t>
  </si>
  <si>
    <t>Applied_From</t>
  </si>
  <si>
    <t>Profit</t>
  </si>
  <si>
    <t>Profit_Share_to_acct_holder</t>
  </si>
  <si>
    <t>Profit_to_investor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</si>
</sst>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theme="1"/>
      <name val="&quot;Aptos Narrow&quot;"/>
    </font>
    <font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15C98"/>
        <bgColor rgb="FF215C98"/>
      </patternFill>
    </fill>
    <fill>
      <patternFill patternType="solid">
        <fgColor rgb="FF3C7D22"/>
        <bgColor rgb="FF3C7D22"/>
      </patternFill>
    </fill>
    <fill>
      <patternFill patternType="solid">
        <fgColor rgb="FFE97132"/>
        <bgColor rgb="FFE97132"/>
      </patternFill>
    </fill>
    <fill>
      <patternFill patternType="solid">
        <fgColor rgb="FFFFFF00"/>
        <bgColor rgb="FFFFFF00"/>
      </patternFill>
    </fill>
    <fill>
      <patternFill patternType="solid">
        <fgColor rgb="FFF7C7AC"/>
        <bgColor rgb="FFF7C7AC"/>
      </patternFill>
    </fill>
    <fill>
      <patternFill patternType="solid">
        <fgColor rgb="FFA6C9EC"/>
        <bgColor rgb="FFA6C9EC"/>
      </patternFill>
    </fill>
    <fill>
      <patternFill patternType="solid">
        <fgColor rgb="FFB5E6A2"/>
        <bgColor rgb="FFB5E6A2"/>
      </patternFill>
    </fill>
    <fill>
      <patternFill patternType="solid">
        <fgColor rgb="FF83CCEB"/>
        <bgColor rgb="FF83CCEB"/>
      </patternFill>
    </fill>
    <fill>
      <patternFill patternType="solid">
        <fgColor rgb="FF4EA72E"/>
        <bgColor rgb="FF4EA72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2" fillId="3" fontId="1" numFmtId="0" xfId="0" applyAlignment="1" applyBorder="1" applyFill="1" applyFont="1">
      <alignment readingOrder="0" shrinkToFit="0" vertical="top" wrapText="0"/>
    </xf>
    <xf borderId="2" fillId="4" fontId="1" numFmtId="0" xfId="0" applyAlignment="1" applyBorder="1" applyFill="1" applyFont="1">
      <alignment readingOrder="0" shrinkToFit="0" vertical="top" wrapText="0"/>
    </xf>
    <xf borderId="2" fillId="5" fontId="2" numFmtId="0" xfId="0" applyAlignment="1" applyBorder="1" applyFill="1" applyFont="1">
      <alignment readingOrder="0" shrinkToFit="0" vertical="top" wrapText="0"/>
    </xf>
    <xf borderId="2" fillId="6" fontId="2" numFmtId="0" xfId="0" applyAlignment="1" applyBorder="1" applyFill="1" applyFont="1">
      <alignment horizontal="center" readingOrder="0" shrinkToFit="0" wrapText="0"/>
    </xf>
    <xf borderId="2" fillId="6" fontId="2" numFmtId="0" xfId="0" applyAlignment="1" applyBorder="1" applyFill="1" applyFont="1">
      <alignment readingOrder="0" shrinkToFit="0" vertical="top" wrapText="0"/>
    </xf>
    <xf borderId="0" fillId="0" fontId="3" numFmtId="0" xfId="0" applyAlignment="1" applyFont="1">
      <alignment shrinkToFit="0" vertical="bottom" wrapText="0"/>
    </xf>
    <xf borderId="3" fillId="7" fontId="3" numFmtId="0" xfId="0" applyAlignment="1" applyBorder="1" applyFill="1" applyFont="1">
      <alignment horizontal="center" readingOrder="0" shrinkToFit="0" vertical="bottom" wrapText="0"/>
    </xf>
    <xf borderId="4" fillId="8" fontId="3" numFmtId="0" xfId="0" applyAlignment="1" applyBorder="1" applyFill="1" applyFont="1">
      <alignment readingOrder="0" shrinkToFit="0" vertical="bottom" wrapText="0"/>
    </xf>
    <xf borderId="4" fillId="6" fontId="3" numFmtId="0" xfId="0" applyAlignment="1" applyBorder="1" applyFill="1" applyFont="1">
      <alignment horizontal="right" readingOrder="0" shrinkToFit="0" vertical="bottom" wrapText="0"/>
    </xf>
    <xf borderId="4" fillId="7" fontId="3" numFmtId="0" xfId="0" applyAlignment="1" applyBorder="1" applyFill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right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1" fillId="9" fontId="2" numFmtId="0" xfId="0" applyAlignment="1" applyBorder="1" applyFill="1" applyFont="1">
      <alignment readingOrder="0" shrinkToFit="0" vertical="bottom" wrapText="0"/>
    </xf>
    <xf borderId="2" fillId="9" fontId="3" numFmtId="0" xfId="0" applyAlignment="1" applyBorder="1" applyFill="1" applyFont="1">
      <alignment horizontal="right" readingOrder="0" shrinkToFit="0" vertical="bottom" wrapText="0"/>
    </xf>
    <xf borderId="4" fillId="7" fontId="3" numFmtId="0" xfId="0" applyAlignment="1" applyBorder="1" applyFill="1" applyFont="1">
      <alignment readingOrder="0" shrinkToFit="0" wrapText="0"/>
    </xf>
    <xf borderId="3" fillId="9" fontId="2" numFmtId="0" xfId="0" applyAlignment="1" applyBorder="1" applyFill="1" applyFont="1">
      <alignment readingOrder="0" shrinkToFit="0" vertical="bottom" wrapText="0"/>
    </xf>
    <xf borderId="4" fillId="9" fontId="3" numFmtId="0" xfId="0" applyAlignment="1" applyBorder="1" applyFill="1" applyFont="1">
      <alignment horizontal="right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9" fontId="3" numFmtId="9" xfId="0" applyAlignment="1" applyBorder="1" applyFill="1" applyFont="1" applyNumberFormat="1">
      <alignment horizontal="right" readingOrder="0" shrinkToFit="0" vertical="bottom" wrapText="0"/>
    </xf>
    <xf borderId="5" fillId="9" fontId="2" numFmtId="0" xfId="0" applyAlignment="1" applyBorder="1" applyFill="1" applyFont="1">
      <alignment readingOrder="0" shrinkToFit="0" vertical="bottom" wrapText="0"/>
    </xf>
    <xf borderId="4" fillId="10" fontId="3" numFmtId="0" xfId="0" applyAlignment="1" applyBorder="1" applyFill="1" applyFont="1">
      <alignment readingOrder="0" shrinkToFit="0" wrapText="0"/>
    </xf>
    <xf borderId="1" fillId="9" fontId="3" numFmtId="0" xfId="0" applyAlignment="1" applyBorder="1" applyFill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3" fillId="7" fontId="4" numFmtId="0" xfId="0" applyAlignment="1" applyBorder="1" applyFill="1" applyFont="1">
      <alignment horizontal="center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/>
      <c r="M1" s="7"/>
      <c r="N1" s="7"/>
      <c r="O1" s="7"/>
      <c r="P1" s="7"/>
    </row>
    <row r="2">
      <c r="A2" s="8">
        <v>1.0</v>
      </c>
      <c r="B2" s="9" t="s">
        <v>11</v>
      </c>
      <c r="C2" s="10">
        <v>14994.0</v>
      </c>
      <c r="D2" s="11" t="s">
        <v>11</v>
      </c>
      <c r="E2" s="12">
        <v>1.0</v>
      </c>
      <c r="F2" s="13">
        <v>14994.0</v>
      </c>
      <c r="G2" s="14" t="s">
        <v>12</v>
      </c>
      <c r="H2" s="13">
        <v>14994.0</v>
      </c>
      <c r="I2" s="12">
        <f t="shared" ref="I2:I22" si="1">ROUND($N$9*C2/SUM($C$2:$C$22),1)</f>
        <v>843.8</v>
      </c>
      <c r="J2" s="13">
        <f t="shared" ref="J2:J8" si="2">IF(G2="Yes",($N$2-$N$3)*$N$4*$N$6,0)</f>
        <v>0</v>
      </c>
      <c r="K2" s="13">
        <f t="shared" ref="K2:K22" si="3">I2+J2</f>
        <v>843.8</v>
      </c>
      <c r="L2" s="7"/>
      <c r="M2" s="15" t="s">
        <v>13</v>
      </c>
      <c r="N2" s="16">
        <v>59.23</v>
      </c>
      <c r="O2" s="7"/>
      <c r="P2" s="7"/>
    </row>
    <row r="3">
      <c r="A3" s="8">
        <v>2.0</v>
      </c>
      <c r="B3" s="9" t="s">
        <v>14</v>
      </c>
      <c r="C3" s="10">
        <v>14994.0</v>
      </c>
      <c r="D3" s="17" t="s">
        <v>14</v>
      </c>
      <c r="E3" s="12">
        <v>1.0</v>
      </c>
      <c r="F3" s="13">
        <v>14994.0</v>
      </c>
      <c r="G3" s="12" t="s">
        <v>12</v>
      </c>
      <c r="H3" s="13">
        <v>14994.0</v>
      </c>
      <c r="I3" s="12">
        <f t="shared" si="1"/>
        <v>843.8</v>
      </c>
      <c r="J3" s="13">
        <f t="shared" si="2"/>
        <v>0</v>
      </c>
      <c r="K3" s="13">
        <f t="shared" si="3"/>
        <v>843.8</v>
      </c>
      <c r="L3" s="7"/>
      <c r="M3" s="18" t="s">
        <v>15</v>
      </c>
      <c r="N3" s="19">
        <v>34.0</v>
      </c>
      <c r="O3" s="7"/>
      <c r="P3" s="7"/>
    </row>
    <row r="4">
      <c r="A4" s="8">
        <v>3.0</v>
      </c>
      <c r="B4" s="9" t="s">
        <v>11</v>
      </c>
      <c r="C4" s="10">
        <v>14994.0</v>
      </c>
      <c r="D4" s="11" t="s">
        <v>16</v>
      </c>
      <c r="E4" s="12">
        <v>1.0</v>
      </c>
      <c r="F4" s="13">
        <v>14994.0</v>
      </c>
      <c r="G4" s="12" t="s">
        <v>12</v>
      </c>
      <c r="H4" s="13">
        <v>14994.0</v>
      </c>
      <c r="I4" s="12">
        <f t="shared" si="1"/>
        <v>843.8</v>
      </c>
      <c r="J4" s="13">
        <f t="shared" si="2"/>
        <v>0</v>
      </c>
      <c r="K4" s="13">
        <f t="shared" si="3"/>
        <v>843.8</v>
      </c>
      <c r="L4" s="7"/>
      <c r="M4" s="18" t="s">
        <v>17</v>
      </c>
      <c r="N4" s="19">
        <v>441.0</v>
      </c>
      <c r="O4" s="7"/>
      <c r="P4" s="7"/>
    </row>
    <row r="5">
      <c r="A5" s="8">
        <v>4.0</v>
      </c>
      <c r="B5" s="9" t="s">
        <v>11</v>
      </c>
      <c r="C5" s="10">
        <v>14994.0</v>
      </c>
      <c r="D5" s="11" t="s">
        <v>18</v>
      </c>
      <c r="E5" s="12">
        <v>1.0</v>
      </c>
      <c r="F5" s="13">
        <v>14994.0</v>
      </c>
      <c r="G5" s="12" t="s">
        <v>12</v>
      </c>
      <c r="H5" s="13">
        <v>14994.0</v>
      </c>
      <c r="I5" s="12">
        <f t="shared" si="1"/>
        <v>843.8</v>
      </c>
      <c r="J5" s="13">
        <f t="shared" si="2"/>
        <v>0</v>
      </c>
      <c r="K5" s="13">
        <f t="shared" si="3"/>
        <v>843.8</v>
      </c>
      <c r="L5" s="7"/>
      <c r="M5" s="18" t="s">
        <v>19</v>
      </c>
      <c r="N5" s="19">
        <v>22252.86</v>
      </c>
      <c r="O5" s="7"/>
      <c r="P5" s="7"/>
    </row>
    <row r="6">
      <c r="A6" s="8">
        <v>5.0</v>
      </c>
      <c r="B6" s="20" t="s">
        <v>20</v>
      </c>
      <c r="C6" s="10">
        <v>14994.0</v>
      </c>
      <c r="D6" s="17" t="s">
        <v>21</v>
      </c>
      <c r="E6" s="12">
        <v>1.0</v>
      </c>
      <c r="F6" s="13">
        <v>14994.0</v>
      </c>
      <c r="G6" s="12" t="s">
        <v>12</v>
      </c>
      <c r="H6" s="13">
        <v>14994.0</v>
      </c>
      <c r="I6" s="12">
        <f t="shared" si="1"/>
        <v>843.8</v>
      </c>
      <c r="J6" s="13">
        <f t="shared" si="2"/>
        <v>0</v>
      </c>
      <c r="K6" s="13">
        <f t="shared" si="3"/>
        <v>843.8</v>
      </c>
      <c r="L6" s="7"/>
      <c r="M6" s="18" t="s">
        <v>22</v>
      </c>
      <c r="N6" s="21">
        <v>0.2</v>
      </c>
      <c r="O6" s="7"/>
      <c r="P6" s="7"/>
    </row>
    <row r="7">
      <c r="A7" s="8">
        <v>6.0</v>
      </c>
      <c r="B7" s="20" t="s">
        <v>20</v>
      </c>
      <c r="C7" s="10">
        <v>14994.0</v>
      </c>
      <c r="D7" s="17" t="s">
        <v>23</v>
      </c>
      <c r="E7" s="12">
        <v>1.0</v>
      </c>
      <c r="F7" s="13">
        <v>14994.0</v>
      </c>
      <c r="G7" s="12" t="s">
        <v>12</v>
      </c>
      <c r="H7" s="13">
        <v>14994.0</v>
      </c>
      <c r="I7" s="12">
        <f t="shared" si="1"/>
        <v>843.8</v>
      </c>
      <c r="J7" s="13">
        <f t="shared" si="2"/>
        <v>0</v>
      </c>
      <c r="K7" s="13">
        <f t="shared" si="3"/>
        <v>843.8</v>
      </c>
      <c r="L7" s="7"/>
      <c r="M7" s="18" t="s">
        <v>24</v>
      </c>
      <c r="N7" s="19">
        <v>4450.572</v>
      </c>
      <c r="O7" s="7"/>
      <c r="P7" s="7"/>
    </row>
    <row r="8">
      <c r="A8" s="8">
        <v>7.0</v>
      </c>
      <c r="B8" s="20" t="s">
        <v>25</v>
      </c>
      <c r="C8" s="10">
        <v>14994.0</v>
      </c>
      <c r="D8" s="17" t="s">
        <v>25</v>
      </c>
      <c r="E8" s="12">
        <v>1.0</v>
      </c>
      <c r="F8" s="13">
        <v>14994.0</v>
      </c>
      <c r="G8" s="12" t="s">
        <v>12</v>
      </c>
      <c r="H8" s="13">
        <v>14994.0</v>
      </c>
      <c r="I8" s="12">
        <f t="shared" si="1"/>
        <v>843.8</v>
      </c>
      <c r="J8" s="13">
        <f t="shared" si="2"/>
        <v>0</v>
      </c>
      <c r="K8" s="13">
        <f t="shared" si="3"/>
        <v>843.8</v>
      </c>
      <c r="L8" s="7"/>
      <c r="M8" s="22" t="s">
        <v>26</v>
      </c>
      <c r="N8" s="19">
        <v>81.86</v>
      </c>
      <c r="O8" s="7"/>
      <c r="P8" s="7"/>
    </row>
    <row r="9">
      <c r="A9" s="8">
        <v>8.0</v>
      </c>
      <c r="B9" s="20" t="s">
        <v>27</v>
      </c>
      <c r="C9" s="10">
        <v>14994.0</v>
      </c>
      <c r="D9" s="23" t="s">
        <v>27</v>
      </c>
      <c r="E9" s="12">
        <v>1.0</v>
      </c>
      <c r="F9" s="13">
        <v>14994.0</v>
      </c>
      <c r="G9" s="12" t="s">
        <v>28</v>
      </c>
      <c r="H9" s="13">
        <v>14994.0</v>
      </c>
      <c r="I9" s="12">
        <f t="shared" si="1"/>
        <v>843.8</v>
      </c>
      <c r="J9" s="13">
        <v>2452.0</v>
      </c>
      <c r="K9" s="13">
        <f t="shared" si="3"/>
        <v>3295.8</v>
      </c>
      <c r="L9" s="7"/>
      <c r="M9" s="15" t="s">
        <v>29</v>
      </c>
      <c r="N9" s="19">
        <v>17720.428</v>
      </c>
      <c r="O9" s="7"/>
      <c r="P9" s="7"/>
    </row>
    <row r="10">
      <c r="A10" s="8">
        <v>9.0</v>
      </c>
      <c r="B10" s="20" t="s">
        <v>30</v>
      </c>
      <c r="C10" s="10">
        <v>14994.0</v>
      </c>
      <c r="D10" s="17" t="s">
        <v>30</v>
      </c>
      <c r="E10" s="12">
        <v>1.0</v>
      </c>
      <c r="F10" s="13">
        <v>14994.0</v>
      </c>
      <c r="G10" s="12" t="s">
        <v>12</v>
      </c>
      <c r="H10" s="13">
        <v>14994.0</v>
      </c>
      <c r="I10" s="12">
        <f t="shared" si="1"/>
        <v>843.8</v>
      </c>
      <c r="J10" s="13">
        <v>0.0</v>
      </c>
      <c r="K10" s="13">
        <f t="shared" si="3"/>
        <v>843.8</v>
      </c>
      <c r="L10" s="7"/>
      <c r="M10" s="7"/>
      <c r="N10" s="7"/>
      <c r="O10" s="7"/>
      <c r="P10" s="7"/>
    </row>
    <row r="11">
      <c r="A11" s="8">
        <v>10.0</v>
      </c>
      <c r="B11" s="20" t="s">
        <v>31</v>
      </c>
      <c r="C11" s="10">
        <v>14994.0</v>
      </c>
      <c r="D11" s="17" t="s">
        <v>31</v>
      </c>
      <c r="E11" s="12">
        <v>1.0</v>
      </c>
      <c r="F11" s="13">
        <v>14994.0</v>
      </c>
      <c r="G11" s="12" t="s">
        <v>12</v>
      </c>
      <c r="H11" s="13">
        <v>14994.0</v>
      </c>
      <c r="I11" s="12">
        <f t="shared" si="1"/>
        <v>843.8</v>
      </c>
      <c r="J11" s="13">
        <v>0.0</v>
      </c>
      <c r="K11" s="13">
        <f t="shared" si="3"/>
        <v>843.8</v>
      </c>
      <c r="L11" s="7"/>
      <c r="M11" s="24" t="s">
        <v>32</v>
      </c>
      <c r="N11" s="25" t="s">
        <v>33</v>
      </c>
      <c r="O11" s="7"/>
      <c r="P11" s="7"/>
    </row>
    <row r="12">
      <c r="A12" s="8">
        <v>11.0</v>
      </c>
      <c r="B12" s="20" t="s">
        <v>31</v>
      </c>
      <c r="C12" s="10">
        <v>14994.0</v>
      </c>
      <c r="D12" s="17" t="s">
        <v>34</v>
      </c>
      <c r="E12" s="12">
        <v>1.0</v>
      </c>
      <c r="F12" s="13">
        <v>14994.0</v>
      </c>
      <c r="G12" s="12" t="s">
        <v>12</v>
      </c>
      <c r="H12" s="13">
        <v>14994.0</v>
      </c>
      <c r="I12" s="12">
        <f t="shared" si="1"/>
        <v>843.8</v>
      </c>
      <c r="J12" s="13">
        <v>0.0</v>
      </c>
      <c r="K12" s="13">
        <f t="shared" si="3"/>
        <v>843.8</v>
      </c>
      <c r="L12" s="7"/>
      <c r="M12" s="7"/>
      <c r="N12" s="7"/>
      <c r="O12" s="7"/>
      <c r="P12" s="7"/>
    </row>
    <row r="13">
      <c r="A13" s="26">
        <v>12.0</v>
      </c>
      <c r="B13" s="27" t="s">
        <v>31</v>
      </c>
      <c r="C13" s="10">
        <v>14994.0</v>
      </c>
      <c r="D13" s="17" t="s">
        <v>35</v>
      </c>
      <c r="E13" s="28">
        <v>1.0</v>
      </c>
      <c r="F13" s="13">
        <v>14994.0</v>
      </c>
      <c r="G13" s="12" t="s">
        <v>12</v>
      </c>
      <c r="H13" s="13">
        <v>14994.0</v>
      </c>
      <c r="I13" s="12">
        <f t="shared" si="1"/>
        <v>843.8</v>
      </c>
      <c r="J13" s="13">
        <v>0.0</v>
      </c>
      <c r="K13" s="13">
        <f t="shared" si="3"/>
        <v>843.8</v>
      </c>
      <c r="L13" s="7"/>
      <c r="M13" s="7"/>
      <c r="N13" s="7"/>
      <c r="O13" s="7"/>
      <c r="P13" s="7"/>
    </row>
    <row r="14">
      <c r="A14" s="8">
        <v>13.0</v>
      </c>
      <c r="B14" s="27" t="s">
        <v>31</v>
      </c>
      <c r="C14" s="10">
        <v>14994.0</v>
      </c>
      <c r="D14" s="17" t="s">
        <v>36</v>
      </c>
      <c r="E14" s="12">
        <v>1.0</v>
      </c>
      <c r="F14" s="13">
        <v>14994.0</v>
      </c>
      <c r="G14" s="12" t="s">
        <v>12</v>
      </c>
      <c r="H14" s="13">
        <v>14994.0</v>
      </c>
      <c r="I14" s="12">
        <f t="shared" si="1"/>
        <v>843.8</v>
      </c>
      <c r="J14" s="13">
        <v>0.0</v>
      </c>
      <c r="K14" s="13">
        <f t="shared" si="3"/>
        <v>843.8</v>
      </c>
      <c r="L14" s="7"/>
      <c r="M14" s="7"/>
      <c r="N14" s="7"/>
      <c r="O14" s="7"/>
      <c r="P14" s="7"/>
    </row>
    <row r="15">
      <c r="A15" s="8">
        <v>14.0</v>
      </c>
      <c r="B15" s="27" t="s">
        <v>31</v>
      </c>
      <c r="C15" s="10">
        <v>14994.0</v>
      </c>
      <c r="D15" s="17" t="s">
        <v>37</v>
      </c>
      <c r="E15" s="12">
        <v>1.0</v>
      </c>
      <c r="F15" s="13">
        <v>14994.0</v>
      </c>
      <c r="G15" s="12" t="s">
        <v>12</v>
      </c>
      <c r="H15" s="13">
        <v>14994.0</v>
      </c>
      <c r="I15" s="12">
        <f t="shared" si="1"/>
        <v>843.8</v>
      </c>
      <c r="J15" s="13">
        <v>0.0</v>
      </c>
      <c r="K15" s="13">
        <f t="shared" si="3"/>
        <v>843.8</v>
      </c>
      <c r="L15" s="7"/>
      <c r="M15" s="7"/>
      <c r="N15" s="7"/>
      <c r="O15" s="7"/>
      <c r="P15" s="7"/>
    </row>
    <row r="16">
      <c r="A16" s="8">
        <v>15.0</v>
      </c>
      <c r="B16" s="27" t="s">
        <v>31</v>
      </c>
      <c r="C16" s="10">
        <v>14994.0</v>
      </c>
      <c r="D16" s="17" t="s">
        <v>38</v>
      </c>
      <c r="E16" s="12">
        <v>1.0</v>
      </c>
      <c r="F16" s="13">
        <v>14994.0</v>
      </c>
      <c r="G16" s="12" t="s">
        <v>12</v>
      </c>
      <c r="H16" s="13">
        <v>14994.0</v>
      </c>
      <c r="I16" s="12">
        <f t="shared" si="1"/>
        <v>843.8</v>
      </c>
      <c r="J16" s="13">
        <v>0.0</v>
      </c>
      <c r="K16" s="13">
        <f t="shared" si="3"/>
        <v>843.8</v>
      </c>
      <c r="L16" s="7"/>
      <c r="M16" s="7"/>
      <c r="N16" s="7"/>
      <c r="O16" s="7"/>
      <c r="P16" s="7"/>
    </row>
    <row r="17">
      <c r="A17" s="8">
        <v>16.0</v>
      </c>
      <c r="B17" s="27" t="s">
        <v>31</v>
      </c>
      <c r="C17" s="10">
        <v>14994.0</v>
      </c>
      <c r="D17" s="17" t="s">
        <v>39</v>
      </c>
      <c r="E17" s="12">
        <v>1.0</v>
      </c>
      <c r="F17" s="13">
        <v>14994.0</v>
      </c>
      <c r="G17" s="12" t="s">
        <v>12</v>
      </c>
      <c r="H17" s="13">
        <v>14994.0</v>
      </c>
      <c r="I17" s="12">
        <f t="shared" si="1"/>
        <v>843.8</v>
      </c>
      <c r="J17" s="13">
        <v>0.0</v>
      </c>
      <c r="K17" s="13">
        <f t="shared" si="3"/>
        <v>843.8</v>
      </c>
      <c r="L17" s="7"/>
      <c r="M17" s="7"/>
      <c r="N17" s="29" t="s">
        <v>40</v>
      </c>
      <c r="O17" s="29" t="s">
        <v>41</v>
      </c>
      <c r="P17" s="7"/>
    </row>
    <row r="18">
      <c r="A18" s="8">
        <v>17.0</v>
      </c>
      <c r="B18" s="20" t="s">
        <v>42</v>
      </c>
      <c r="C18" s="10">
        <v>14994.0</v>
      </c>
      <c r="D18" s="23" t="s">
        <v>42</v>
      </c>
      <c r="E18" s="12">
        <v>1.0</v>
      </c>
      <c r="F18" s="13">
        <v>14994.0</v>
      </c>
      <c r="G18" s="12" t="s">
        <v>43</v>
      </c>
      <c r="H18" s="13">
        <v>14994.0</v>
      </c>
      <c r="I18" s="12">
        <f t="shared" si="1"/>
        <v>843.8</v>
      </c>
      <c r="J18" s="13">
        <v>1998.0</v>
      </c>
      <c r="K18" s="13">
        <f t="shared" si="3"/>
        <v>2841.8</v>
      </c>
      <c r="L18" s="7"/>
      <c r="M18" s="29" t="s">
        <v>42</v>
      </c>
      <c r="N18" s="30">
        <v>56.66</v>
      </c>
      <c r="O18" s="30">
        <v>36.86</v>
      </c>
      <c r="P18" s="30">
        <v>9951.0</v>
      </c>
    </row>
    <row r="19">
      <c r="A19" s="8">
        <v>18.0</v>
      </c>
      <c r="B19" s="27" t="s">
        <v>44</v>
      </c>
      <c r="C19" s="10">
        <v>14994.0</v>
      </c>
      <c r="D19" s="17" t="s">
        <v>45</v>
      </c>
      <c r="E19" s="12">
        <v>1.0</v>
      </c>
      <c r="F19" s="13">
        <v>14994.0</v>
      </c>
      <c r="G19" s="12" t="s">
        <v>12</v>
      </c>
      <c r="H19" s="13">
        <v>14994.0</v>
      </c>
      <c r="I19" s="12">
        <f t="shared" si="1"/>
        <v>843.8</v>
      </c>
      <c r="J19" s="13">
        <v>0.0</v>
      </c>
      <c r="K19" s="13">
        <f t="shared" si="3"/>
        <v>843.8</v>
      </c>
      <c r="L19" s="7"/>
      <c r="M19" s="29" t="s">
        <v>27</v>
      </c>
      <c r="N19" s="30">
        <v>61.81</v>
      </c>
      <c r="O19" s="30">
        <v>45.0</v>
      </c>
      <c r="P19" s="30">
        <v>12220.0</v>
      </c>
    </row>
    <row r="20">
      <c r="A20" s="8">
        <v>19.0</v>
      </c>
      <c r="B20" s="20" t="s">
        <v>46</v>
      </c>
      <c r="C20" s="10">
        <v>14994.0</v>
      </c>
      <c r="D20" s="17" t="s">
        <v>46</v>
      </c>
      <c r="E20" s="12">
        <v>1.0</v>
      </c>
      <c r="F20" s="13">
        <v>14994.0</v>
      </c>
      <c r="G20" s="12" t="s">
        <v>12</v>
      </c>
      <c r="H20" s="13">
        <v>14994.0</v>
      </c>
      <c r="I20" s="12">
        <f t="shared" si="1"/>
        <v>843.8</v>
      </c>
      <c r="J20" s="13">
        <v>0.0</v>
      </c>
      <c r="K20" s="13">
        <f t="shared" si="3"/>
        <v>843.8</v>
      </c>
      <c r="L20" s="7"/>
      <c r="M20" s="7"/>
      <c r="N20" s="7"/>
      <c r="O20" s="7"/>
      <c r="P20" s="7"/>
    </row>
    <row r="21">
      <c r="A21" s="8">
        <v>20.0</v>
      </c>
      <c r="B21" s="20" t="s">
        <v>47</v>
      </c>
      <c r="C21" s="10">
        <v>14994.0</v>
      </c>
      <c r="D21" s="17" t="s">
        <v>48</v>
      </c>
      <c r="E21" s="12">
        <v>1.0</v>
      </c>
      <c r="F21" s="13" t="s">
        <v>49</v>
      </c>
      <c r="G21" s="12" t="s">
        <v>12</v>
      </c>
      <c r="H21" s="13">
        <v>14994.0</v>
      </c>
      <c r="I21" s="12">
        <f t="shared" si="1"/>
        <v>843.8</v>
      </c>
      <c r="J21" s="13">
        <v>0.0</v>
      </c>
      <c r="K21" s="13">
        <f t="shared" si="3"/>
        <v>843.8</v>
      </c>
      <c r="L21" s="7"/>
      <c r="M21" s="7"/>
      <c r="N21" s="30">
        <f>sum(N18,N19)/2</f>
        <v>59.235</v>
      </c>
      <c r="O21" s="30">
        <f t="shared" ref="O21:P21" si="4">sum(O18,O19)</f>
        <v>81.86</v>
      </c>
      <c r="P21" s="30">
        <f t="shared" si="4"/>
        <v>22171</v>
      </c>
    </row>
    <row r="22">
      <c r="A22" s="8">
        <v>21.0</v>
      </c>
      <c r="B22" s="20" t="s">
        <v>44</v>
      </c>
      <c r="C22" s="10">
        <v>14994.0</v>
      </c>
      <c r="D22" s="17" t="s">
        <v>50</v>
      </c>
      <c r="E22" s="12">
        <v>1.0</v>
      </c>
      <c r="F22" s="13">
        <v>14994.0</v>
      </c>
      <c r="G22" s="12" t="s">
        <v>12</v>
      </c>
      <c r="H22" s="13">
        <v>14994.0</v>
      </c>
      <c r="I22" s="12">
        <f t="shared" si="1"/>
        <v>843.8</v>
      </c>
      <c r="J22" s="13">
        <v>0.0</v>
      </c>
      <c r="K22" s="13">
        <f t="shared" si="3"/>
        <v>843.8</v>
      </c>
      <c r="L22" s="7"/>
      <c r="M22" s="7"/>
      <c r="N22" s="7"/>
      <c r="O22" s="7"/>
      <c r="P22" s="7"/>
    </row>
    <row r="23">
      <c r="A23" s="31"/>
      <c r="B23" s="32" t="s">
        <v>51</v>
      </c>
      <c r="C23" s="33">
        <v>314874.0</v>
      </c>
      <c r="D23" s="34"/>
      <c r="E23" s="35">
        <v>21.0</v>
      </c>
      <c r="F23" s="34"/>
      <c r="G23" s="34"/>
      <c r="H23" s="33">
        <v>314874.0</v>
      </c>
      <c r="I23" s="36">
        <v>17719.8</v>
      </c>
      <c r="J23" s="36">
        <v>4450.0</v>
      </c>
      <c r="K23" s="33">
        <v>17719.8</v>
      </c>
      <c r="L23" s="7"/>
      <c r="M23" s="7"/>
      <c r="N23" s="7"/>
      <c r="O23" s="7"/>
      <c r="P23" s="7"/>
    </row>
    <row r="24">
      <c r="A24" s="7"/>
      <c r="B24" s="7"/>
      <c r="C24" s="7"/>
      <c r="D24" s="7"/>
      <c r="E24" s="3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8" t="s">
        <v>52</v>
      </c>
      <c r="C1" s="38" t="s">
        <v>2</v>
      </c>
      <c r="D1" s="38" t="s">
        <v>53</v>
      </c>
      <c r="E1" s="38" t="s">
        <v>54</v>
      </c>
      <c r="F1" s="38" t="s">
        <v>55</v>
      </c>
      <c r="G1" s="38" t="s">
        <v>56</v>
      </c>
    </row>
    <row r="2">
      <c r="A2" s="39">
        <v>1.0</v>
      </c>
      <c r="B2" s="39" t="s">
        <v>20</v>
      </c>
      <c r="C2" s="39">
        <v>14892.0</v>
      </c>
      <c r="D2" s="39" t="s">
        <v>21</v>
      </c>
      <c r="E2" s="39">
        <v>843.8</v>
      </c>
      <c r="F2" s="39">
        <v>169.0</v>
      </c>
      <c r="G2" s="39">
        <v>674.8</v>
      </c>
    </row>
    <row r="3">
      <c r="A3" s="39">
        <v>2.0</v>
      </c>
      <c r="B3" s="39" t="s">
        <v>20</v>
      </c>
      <c r="D3" s="39" t="s">
        <v>23</v>
      </c>
      <c r="E3" s="39">
        <v>843.8</v>
      </c>
      <c r="F3" s="39">
        <v>169.0</v>
      </c>
      <c r="G3" s="39">
        <v>674.8</v>
      </c>
    </row>
    <row r="4">
      <c r="A4" s="39">
        <v>3.0</v>
      </c>
      <c r="B4" s="39" t="s">
        <v>11</v>
      </c>
      <c r="D4" s="39" t="s">
        <v>16</v>
      </c>
      <c r="E4" s="39">
        <v>843.8</v>
      </c>
      <c r="F4" s="39">
        <v>169.0</v>
      </c>
      <c r="G4" s="39">
        <v>674.8</v>
      </c>
    </row>
    <row r="5">
      <c r="A5" s="39">
        <v>4.0</v>
      </c>
      <c r="B5" s="39" t="s">
        <v>11</v>
      </c>
      <c r="D5" s="39" t="s">
        <v>18</v>
      </c>
      <c r="E5" s="39">
        <v>843.8</v>
      </c>
      <c r="F5" s="39">
        <v>169.0</v>
      </c>
      <c r="G5" s="39">
        <v>674.8</v>
      </c>
    </row>
    <row r="6">
      <c r="A6" s="39">
        <v>5.0</v>
      </c>
      <c r="B6" s="39" t="s">
        <v>31</v>
      </c>
      <c r="D6" s="39" t="s">
        <v>36</v>
      </c>
      <c r="E6" s="39">
        <v>843.8</v>
      </c>
      <c r="F6" s="39">
        <v>169.0</v>
      </c>
      <c r="G6" s="39">
        <v>674.8</v>
      </c>
    </row>
    <row r="7">
      <c r="A7" s="39">
        <v>6.0</v>
      </c>
      <c r="B7" s="39" t="s">
        <v>31</v>
      </c>
      <c r="D7" s="39" t="s">
        <v>34</v>
      </c>
      <c r="E7" s="39">
        <v>843.8</v>
      </c>
      <c r="F7" s="39">
        <v>169.0</v>
      </c>
      <c r="G7" s="39">
        <v>674.8</v>
      </c>
    </row>
    <row r="8">
      <c r="A8" s="39">
        <v>7.0</v>
      </c>
      <c r="B8" s="39" t="s">
        <v>31</v>
      </c>
      <c r="D8" s="39" t="s">
        <v>48</v>
      </c>
      <c r="E8" s="39">
        <v>843.8</v>
      </c>
      <c r="F8" s="39">
        <v>169.0</v>
      </c>
      <c r="G8" s="39">
        <v>674.8</v>
      </c>
    </row>
    <row r="9">
      <c r="A9" s="39">
        <v>8.0</v>
      </c>
      <c r="B9" s="39" t="s">
        <v>31</v>
      </c>
      <c r="D9" s="39" t="s">
        <v>37</v>
      </c>
      <c r="E9" s="39">
        <v>843.8</v>
      </c>
      <c r="F9" s="39">
        <v>169.0</v>
      </c>
      <c r="G9" s="39">
        <v>674.8</v>
      </c>
    </row>
  </sheetData>
  <drawing r:id="rId1"/>
</worksheet>
</file>